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15480" windowHeight="9780"/>
  </bookViews>
  <sheets>
    <sheet name="Sheet1" sheetId="1" r:id="rId1"/>
    <sheet name="Sheet2" sheetId="2" r:id="rId2"/>
  </sheets>
  <calcPr calcId="124519"/>
</workbook>
</file>

<file path=xl/calcChain.xml><?xml version="1.0" encoding="utf-8"?>
<calcChain xmlns="http://schemas.openxmlformats.org/spreadsheetml/2006/main">
  <c r="R15" i="1"/>
  <c r="S15" s="1"/>
  <c r="J6" i="2"/>
  <c r="K18" i="1" s="1"/>
  <c r="G6" i="2"/>
  <c r="G5"/>
  <c r="G7" l="1"/>
  <c r="K14" i="1" s="1"/>
</calcChain>
</file>

<file path=xl/sharedStrings.xml><?xml version="1.0" encoding="utf-8"?>
<sst xmlns="http://schemas.openxmlformats.org/spreadsheetml/2006/main" count="53" uniqueCount="37">
  <si>
    <t>mm</t>
  </si>
  <si>
    <t>D</t>
  </si>
  <si>
    <t>F</t>
  </si>
  <si>
    <t>B</t>
  </si>
  <si>
    <t>T</t>
  </si>
  <si>
    <t>L</t>
  </si>
  <si>
    <t>Flange=</t>
  </si>
  <si>
    <t>Traverse=</t>
  </si>
  <si>
    <t>Diameter=</t>
  </si>
  <si>
    <t>Length=</t>
  </si>
  <si>
    <t>m</t>
  </si>
  <si>
    <t>Barrel=</t>
  </si>
  <si>
    <t>Length Calculation</t>
  </si>
  <si>
    <t>Diameter Calculation</t>
  </si>
  <si>
    <t>E</t>
  </si>
  <si>
    <t>Empty=</t>
  </si>
  <si>
    <t>N=</t>
  </si>
  <si>
    <t>Traverse Coefficient=</t>
  </si>
  <si>
    <t>P=</t>
  </si>
  <si>
    <t>L=</t>
  </si>
  <si>
    <t>Diameter calculaton</t>
  </si>
  <si>
    <t>D=</t>
  </si>
  <si>
    <t>Drum size</t>
  </si>
  <si>
    <t>Flange</t>
  </si>
  <si>
    <t>Barrel</t>
  </si>
  <si>
    <t>Traverse</t>
  </si>
  <si>
    <t>2000 MAIN</t>
  </si>
  <si>
    <t>2000 No</t>
  </si>
  <si>
    <t>وحید صرفی</t>
  </si>
  <si>
    <t>Code</t>
  </si>
  <si>
    <t>160 little</t>
  </si>
  <si>
    <t>160 big</t>
  </si>
  <si>
    <t>d</t>
  </si>
  <si>
    <t>Cond Size =</t>
  </si>
  <si>
    <t>Conductor</t>
  </si>
  <si>
    <t>Size</t>
  </si>
  <si>
    <t>Dia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</si>
</sst>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IranNastaliq"/>
      <family val="1"/>
    </font>
    <font>
      <sz val="11"/>
      <color theme="1"/>
      <name val="Symbol"/>
      <family val="1"/>
      <charset val="2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2" fillId="0" borderId="0" xfId="0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6" xfId="0" applyFont="1" applyBorder="1"/>
    <xf numFmtId="0" fontId="3" fillId="0" borderId="6" xfId="0" applyFont="1" applyBorder="1" applyAlignment="1"/>
    <xf numFmtId="0" fontId="3" fillId="2" borderId="1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0" borderId="9" xfId="0" applyFont="1" applyBorder="1"/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left" vertical="center"/>
    </xf>
    <xf numFmtId="0" fontId="3" fillId="6" borderId="6" xfId="0" applyFont="1" applyFill="1" applyBorder="1" applyAlignment="1">
      <alignment horizontal="left" readingOrder="1"/>
    </xf>
    <xf numFmtId="0" fontId="3" fillId="0" borderId="1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Continuous"/>
    </xf>
    <xf numFmtId="0" fontId="0" fillId="2" borderId="12" xfId="0" applyFill="1" applyBorder="1" applyAlignment="1">
      <alignment horizontal="centerContinuous"/>
    </xf>
    <xf numFmtId="0" fontId="3" fillId="0" borderId="24" xfId="0" applyFont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752475</xdr:colOff>
      <xdr:row>1</xdr:row>
      <xdr:rowOff>70418</xdr:rowOff>
    </xdr:from>
    <xdr:to>
      <xdr:col>6</xdr:col>
      <xdr:colOff>200025</xdr:colOff>
      <xdr:row>22</xdr:row>
      <xdr:rowOff>120082</xdr:rowOff>
    </xdr:to>
    <xdr:pic macro="[0]!Hidden_barrel">
      <xdr:nvPicPr>
        <xdr:cNvPr id="1025" name="Pic Drum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359" t="1848" r="4900" b="2053"/>
        <a:stretch>
          <a:fillRect/>
        </a:stretch>
      </xdr:blipFill>
      <xdr:spPr bwMode="auto">
        <a:xfrm>
          <a:off x="752475" y="260918"/>
          <a:ext cx="4019550" cy="410731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676275</xdr:colOff>
      <xdr:row>4</xdr:row>
      <xdr:rowOff>66675</xdr:rowOff>
    </xdr:from>
    <xdr:to>
      <xdr:col>15</xdr:col>
      <xdr:colOff>142875</xdr:colOff>
      <xdr:row>6</xdr:row>
      <xdr:rowOff>47625</xdr:rowOff>
    </xdr:to>
    <xdr:sp macro="[0]!Drum1000" textlink="">
      <xdr:nvSpPr>
        <xdr:cNvPr id="17" name="Rect 1000"/>
        <xdr:cNvSpPr/>
      </xdr:nvSpPr>
      <xdr:spPr>
        <a:xfrm>
          <a:off x="10467975" y="828675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1000</a:t>
          </a:r>
        </a:p>
      </xdr:txBody>
    </xdr:sp>
    <xdr:clientData/>
  </xdr:twoCellAnchor>
  <xdr:twoCellAnchor>
    <xdr:from>
      <xdr:col>12</xdr:col>
      <xdr:colOff>209550</xdr:colOff>
      <xdr:row>7</xdr:row>
      <xdr:rowOff>107453</xdr:rowOff>
    </xdr:from>
    <xdr:to>
      <xdr:col>13</xdr:col>
      <xdr:colOff>438150</xdr:colOff>
      <xdr:row>9</xdr:row>
      <xdr:rowOff>97928</xdr:rowOff>
    </xdr:to>
    <xdr:sp macro="[0]!Drum1250" textlink="">
      <xdr:nvSpPr>
        <xdr:cNvPr id="18" name="Rect 1250"/>
        <xdr:cNvSpPr/>
      </xdr:nvSpPr>
      <xdr:spPr>
        <a:xfrm>
          <a:off x="9239250" y="1450478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1250</a:t>
          </a:r>
        </a:p>
      </xdr:txBody>
    </xdr:sp>
    <xdr:clientData/>
  </xdr:twoCellAnchor>
  <xdr:twoCellAnchor>
    <xdr:from>
      <xdr:col>13</xdr:col>
      <xdr:colOff>676275</xdr:colOff>
      <xdr:row>7</xdr:row>
      <xdr:rowOff>107453</xdr:rowOff>
    </xdr:from>
    <xdr:to>
      <xdr:col>15</xdr:col>
      <xdr:colOff>142875</xdr:colOff>
      <xdr:row>9</xdr:row>
      <xdr:rowOff>97928</xdr:rowOff>
    </xdr:to>
    <xdr:sp macro="[0]!Drum1600" textlink="">
      <xdr:nvSpPr>
        <xdr:cNvPr id="19" name="Rect 1600"/>
        <xdr:cNvSpPr/>
      </xdr:nvSpPr>
      <xdr:spPr>
        <a:xfrm>
          <a:off x="10467975" y="1450478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1600</a:t>
          </a:r>
        </a:p>
      </xdr:txBody>
    </xdr:sp>
    <xdr:clientData/>
  </xdr:twoCellAnchor>
  <xdr:twoCellAnchor>
    <xdr:from>
      <xdr:col>12</xdr:col>
      <xdr:colOff>209550</xdr:colOff>
      <xdr:row>10</xdr:row>
      <xdr:rowOff>157756</xdr:rowOff>
    </xdr:from>
    <xdr:to>
      <xdr:col>13</xdr:col>
      <xdr:colOff>438150</xdr:colOff>
      <xdr:row>12</xdr:row>
      <xdr:rowOff>148231</xdr:rowOff>
    </xdr:to>
    <xdr:sp macro="[0]!Drum2000" textlink="">
      <xdr:nvSpPr>
        <xdr:cNvPr id="20" name="Rect 2000 Main"/>
        <xdr:cNvSpPr/>
      </xdr:nvSpPr>
      <xdr:spPr>
        <a:xfrm>
          <a:off x="9239250" y="2072281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 </a:t>
          </a:r>
          <a:r>
            <a:rPr lang="fa-IR" sz="1100">
              <a:solidFill>
                <a:schemeClr val="lt1"/>
              </a:solidFill>
              <a:latin typeface="+mn-lt"/>
              <a:ea typeface="+mn-ea"/>
              <a:cs typeface="+mn-cs"/>
            </a:rPr>
            <a:t>اصلی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2000 </a:t>
          </a:r>
        </a:p>
      </xdr:txBody>
    </xdr:sp>
    <xdr:clientData/>
  </xdr:twoCellAnchor>
  <xdr:twoCellAnchor>
    <xdr:from>
      <xdr:col>13</xdr:col>
      <xdr:colOff>676275</xdr:colOff>
      <xdr:row>17</xdr:row>
      <xdr:rowOff>67863</xdr:rowOff>
    </xdr:from>
    <xdr:to>
      <xdr:col>15</xdr:col>
      <xdr:colOff>142875</xdr:colOff>
      <xdr:row>19</xdr:row>
      <xdr:rowOff>48813</xdr:rowOff>
    </xdr:to>
    <xdr:sp macro="[0]!Drum3200" textlink="">
      <xdr:nvSpPr>
        <xdr:cNvPr id="24" name="Rect 3200"/>
        <xdr:cNvSpPr/>
      </xdr:nvSpPr>
      <xdr:spPr>
        <a:xfrm>
          <a:off x="10467975" y="3315888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3200</a:t>
          </a:r>
        </a:p>
      </xdr:txBody>
    </xdr:sp>
    <xdr:clientData/>
  </xdr:twoCellAnchor>
  <xdr:twoCellAnchor>
    <xdr:from>
      <xdr:col>12</xdr:col>
      <xdr:colOff>209550</xdr:colOff>
      <xdr:row>4</xdr:row>
      <xdr:rowOff>66675</xdr:rowOff>
    </xdr:from>
    <xdr:to>
      <xdr:col>13</xdr:col>
      <xdr:colOff>438150</xdr:colOff>
      <xdr:row>6</xdr:row>
      <xdr:rowOff>47625</xdr:rowOff>
    </xdr:to>
    <xdr:sp macro="[0]!Drum800" textlink="">
      <xdr:nvSpPr>
        <xdr:cNvPr id="25" name="Rect 800"/>
        <xdr:cNvSpPr/>
      </xdr:nvSpPr>
      <xdr:spPr>
        <a:xfrm>
          <a:off x="9239250" y="828675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800</a:t>
          </a:r>
        </a:p>
      </xdr:txBody>
    </xdr:sp>
    <xdr:clientData/>
  </xdr:twoCellAnchor>
  <xdr:twoCellAnchor>
    <xdr:from>
      <xdr:col>13</xdr:col>
      <xdr:colOff>676275</xdr:colOff>
      <xdr:row>10</xdr:row>
      <xdr:rowOff>157756</xdr:rowOff>
    </xdr:from>
    <xdr:to>
      <xdr:col>15</xdr:col>
      <xdr:colOff>142875</xdr:colOff>
      <xdr:row>12</xdr:row>
      <xdr:rowOff>148231</xdr:rowOff>
    </xdr:to>
    <xdr:sp macro="[0]!Drum20000" textlink="">
      <xdr:nvSpPr>
        <xdr:cNvPr id="29" name="Rect 2000"/>
        <xdr:cNvSpPr/>
      </xdr:nvSpPr>
      <xdr:spPr>
        <a:xfrm>
          <a:off x="10467975" y="2072281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a-IR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2000</a:t>
          </a:r>
          <a:r>
            <a:rPr lang="fa-IR" sz="1100"/>
            <a:t> </a:t>
          </a:r>
          <a:r>
            <a:rPr lang="fa-IR" sz="900">
              <a:cs typeface="B Nazanin" pitchFamily="2" charset="-78"/>
            </a:rPr>
            <a:t>غیر</a:t>
          </a:r>
          <a:r>
            <a:rPr lang="fa-IR" sz="900" baseline="0">
              <a:cs typeface="B Nazanin" pitchFamily="2" charset="-78"/>
            </a:rPr>
            <a:t> اصلی</a:t>
          </a:r>
          <a:endParaRPr lang="en-US" sz="900">
            <a:cs typeface="B Nazanin" pitchFamily="2" charset="-78"/>
          </a:endParaRPr>
        </a:p>
      </xdr:txBody>
    </xdr:sp>
    <xdr:clientData/>
  </xdr:twoCellAnchor>
  <xdr:twoCellAnchor>
    <xdr:from>
      <xdr:col>12</xdr:col>
      <xdr:colOff>209550</xdr:colOff>
      <xdr:row>14</xdr:row>
      <xdr:rowOff>17559</xdr:rowOff>
    </xdr:from>
    <xdr:to>
      <xdr:col>13</xdr:col>
      <xdr:colOff>438150</xdr:colOff>
      <xdr:row>16</xdr:row>
      <xdr:rowOff>8034</xdr:rowOff>
    </xdr:to>
    <xdr:sp macro="[0]!Drum2250" textlink="">
      <xdr:nvSpPr>
        <xdr:cNvPr id="30" name="Rect 2250"/>
        <xdr:cNvSpPr/>
      </xdr:nvSpPr>
      <xdr:spPr>
        <a:xfrm>
          <a:off x="9239250" y="2694084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2250</a:t>
          </a:r>
        </a:p>
      </xdr:txBody>
    </xdr:sp>
    <xdr:clientData/>
  </xdr:twoCellAnchor>
  <xdr:twoCellAnchor>
    <xdr:from>
      <xdr:col>13</xdr:col>
      <xdr:colOff>676275</xdr:colOff>
      <xdr:row>14</xdr:row>
      <xdr:rowOff>17559</xdr:rowOff>
    </xdr:from>
    <xdr:to>
      <xdr:col>15</xdr:col>
      <xdr:colOff>142875</xdr:colOff>
      <xdr:row>16</xdr:row>
      <xdr:rowOff>8034</xdr:rowOff>
    </xdr:to>
    <xdr:sp macro="[0]!Drum2500" textlink="">
      <xdr:nvSpPr>
        <xdr:cNvPr id="31" name="Rect 2500"/>
        <xdr:cNvSpPr/>
      </xdr:nvSpPr>
      <xdr:spPr>
        <a:xfrm>
          <a:off x="10467975" y="2694084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2500</a:t>
          </a:r>
        </a:p>
      </xdr:txBody>
    </xdr:sp>
    <xdr:clientData/>
  </xdr:twoCellAnchor>
  <xdr:twoCellAnchor>
    <xdr:from>
      <xdr:col>12</xdr:col>
      <xdr:colOff>209550</xdr:colOff>
      <xdr:row>17</xdr:row>
      <xdr:rowOff>67863</xdr:rowOff>
    </xdr:from>
    <xdr:to>
      <xdr:col>13</xdr:col>
      <xdr:colOff>438150</xdr:colOff>
      <xdr:row>19</xdr:row>
      <xdr:rowOff>48813</xdr:rowOff>
    </xdr:to>
    <xdr:sp macro="[0]!Drum3000" textlink="">
      <xdr:nvSpPr>
        <xdr:cNvPr id="32" name="Rect 3000"/>
        <xdr:cNvSpPr/>
      </xdr:nvSpPr>
      <xdr:spPr>
        <a:xfrm>
          <a:off x="9239250" y="3315888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3000</a:t>
          </a:r>
        </a:p>
      </xdr:txBody>
    </xdr:sp>
    <xdr:clientData/>
  </xdr:twoCellAnchor>
  <xdr:twoCellAnchor>
    <xdr:from>
      <xdr:col>13</xdr:col>
      <xdr:colOff>57150</xdr:colOff>
      <xdr:row>20</xdr:row>
      <xdr:rowOff>123825</xdr:rowOff>
    </xdr:from>
    <xdr:to>
      <xdr:col>14</xdr:col>
      <xdr:colOff>285750</xdr:colOff>
      <xdr:row>22</xdr:row>
      <xdr:rowOff>114300</xdr:rowOff>
    </xdr:to>
    <xdr:sp macro="[0]!Drum3600" textlink="">
      <xdr:nvSpPr>
        <xdr:cNvPr id="33" name="Rect 3600"/>
        <xdr:cNvSpPr/>
      </xdr:nvSpPr>
      <xdr:spPr>
        <a:xfrm>
          <a:off x="9848850" y="3952875"/>
          <a:ext cx="9906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3600</a:t>
          </a:r>
        </a:p>
      </xdr:txBody>
    </xdr:sp>
    <xdr:clientData/>
  </xdr:twoCellAnchor>
  <xdr:twoCellAnchor>
    <xdr:from>
      <xdr:col>13</xdr:col>
      <xdr:colOff>657225</xdr:colOff>
      <xdr:row>4</xdr:row>
      <xdr:rowOff>57150</xdr:rowOff>
    </xdr:from>
    <xdr:to>
      <xdr:col>15</xdr:col>
      <xdr:colOff>123825</xdr:colOff>
      <xdr:row>6</xdr:row>
      <xdr:rowOff>38100</xdr:rowOff>
    </xdr:to>
    <xdr:sp macro="[0]!Drum80" textlink="">
      <xdr:nvSpPr>
        <xdr:cNvPr id="38" name="Rect 80" hidden="1"/>
        <xdr:cNvSpPr/>
      </xdr:nvSpPr>
      <xdr:spPr>
        <a:xfrm>
          <a:off x="10448925" y="819150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80</a:t>
          </a:r>
        </a:p>
      </xdr:txBody>
    </xdr:sp>
    <xdr:clientData/>
  </xdr:twoCellAnchor>
  <xdr:twoCellAnchor>
    <xdr:from>
      <xdr:col>12</xdr:col>
      <xdr:colOff>209550</xdr:colOff>
      <xdr:row>7</xdr:row>
      <xdr:rowOff>84336</xdr:rowOff>
    </xdr:from>
    <xdr:to>
      <xdr:col>13</xdr:col>
      <xdr:colOff>438150</xdr:colOff>
      <xdr:row>9</xdr:row>
      <xdr:rowOff>74811</xdr:rowOff>
    </xdr:to>
    <xdr:sp macro="[0]!Drum90" textlink="">
      <xdr:nvSpPr>
        <xdr:cNvPr id="39" name="Rect 90" hidden="1"/>
        <xdr:cNvSpPr/>
      </xdr:nvSpPr>
      <xdr:spPr>
        <a:xfrm>
          <a:off x="9239250" y="1427361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90</a:t>
          </a:r>
        </a:p>
      </xdr:txBody>
    </xdr:sp>
    <xdr:clientData/>
  </xdr:twoCellAnchor>
  <xdr:twoCellAnchor>
    <xdr:from>
      <xdr:col>12</xdr:col>
      <xdr:colOff>209550</xdr:colOff>
      <xdr:row>4</xdr:row>
      <xdr:rowOff>57150</xdr:rowOff>
    </xdr:from>
    <xdr:to>
      <xdr:col>13</xdr:col>
      <xdr:colOff>438150</xdr:colOff>
      <xdr:row>6</xdr:row>
      <xdr:rowOff>38100</xdr:rowOff>
    </xdr:to>
    <xdr:sp macro="[0]!Drum70" textlink="">
      <xdr:nvSpPr>
        <xdr:cNvPr id="41" name="Rect 70" hidden="1"/>
        <xdr:cNvSpPr/>
      </xdr:nvSpPr>
      <xdr:spPr>
        <a:xfrm>
          <a:off x="9239250" y="819150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70</a:t>
          </a:r>
        </a:p>
      </xdr:txBody>
    </xdr:sp>
    <xdr:clientData/>
  </xdr:twoCellAnchor>
  <xdr:twoCellAnchor>
    <xdr:from>
      <xdr:col>8</xdr:col>
      <xdr:colOff>28574</xdr:colOff>
      <xdr:row>0</xdr:row>
      <xdr:rowOff>104775</xdr:rowOff>
    </xdr:from>
    <xdr:to>
      <xdr:col>9</xdr:col>
      <xdr:colOff>809624</xdr:colOff>
      <xdr:row>5</xdr:row>
      <xdr:rowOff>28575</xdr:rowOff>
    </xdr:to>
    <xdr:sp macro="[0]!Metallic_drums" textlink="">
      <xdr:nvSpPr>
        <xdr:cNvPr id="50" name="Rounded Rectangle 49"/>
        <xdr:cNvSpPr/>
      </xdr:nvSpPr>
      <xdr:spPr>
        <a:xfrm>
          <a:off x="6124574" y="104775"/>
          <a:ext cx="1266825" cy="876300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 rtl="1"/>
          <a:r>
            <a:rPr lang="fa-IR" sz="1800">
              <a:solidFill>
                <a:schemeClr val="bg1"/>
              </a:solidFill>
              <a:latin typeface="Times New Roman" pitchFamily="18" charset="0"/>
              <a:ea typeface="+mn-ea"/>
              <a:cs typeface="B Nazanin" pitchFamily="2" charset="-78"/>
            </a:rPr>
            <a:t>قرقره</a:t>
          </a:r>
          <a:r>
            <a:rPr lang="fa-IR" sz="1800" baseline="0">
              <a:solidFill>
                <a:schemeClr val="bg1"/>
              </a:solidFill>
              <a:latin typeface="Times New Roman" pitchFamily="18" charset="0"/>
              <a:ea typeface="+mn-ea"/>
              <a:cs typeface="B Nazanin" pitchFamily="2" charset="-78"/>
            </a:rPr>
            <a:t> های فلزی</a:t>
          </a:r>
          <a:endParaRPr lang="en-US" sz="1800">
            <a:solidFill>
              <a:schemeClr val="bg1"/>
            </a:solidFill>
            <a:latin typeface="Times New Roman" pitchFamily="18" charset="0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10</xdr:col>
      <xdr:colOff>180974</xdr:colOff>
      <xdr:row>0</xdr:row>
      <xdr:rowOff>104775</xdr:rowOff>
    </xdr:from>
    <xdr:to>
      <xdr:col>11</xdr:col>
      <xdr:colOff>628649</xdr:colOff>
      <xdr:row>5</xdr:row>
      <xdr:rowOff>28575</xdr:rowOff>
    </xdr:to>
    <xdr:sp macro="[0]!Wooden_drums" textlink="">
      <xdr:nvSpPr>
        <xdr:cNvPr id="51" name="Rounded Rectangle 50"/>
        <xdr:cNvSpPr/>
      </xdr:nvSpPr>
      <xdr:spPr>
        <a:xfrm>
          <a:off x="7629524" y="104775"/>
          <a:ext cx="1266825" cy="8763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 rtl="1"/>
          <a:r>
            <a:rPr lang="fa-IR" sz="1800">
              <a:solidFill>
                <a:schemeClr val="tx1"/>
              </a:solidFill>
              <a:latin typeface="Times New Roman" pitchFamily="18" charset="0"/>
              <a:ea typeface="+mn-ea"/>
              <a:cs typeface="B Nazanin" pitchFamily="2" charset="-78"/>
            </a:rPr>
            <a:t>قرقره های چوبی</a:t>
          </a:r>
          <a:endParaRPr lang="en-US" sz="1800">
            <a:solidFill>
              <a:schemeClr val="tx1"/>
            </a:solidFill>
            <a:latin typeface="Times New Roman" pitchFamily="18" charset="0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13</xdr:col>
      <xdr:colOff>657225</xdr:colOff>
      <xdr:row>7</xdr:row>
      <xdr:rowOff>84336</xdr:rowOff>
    </xdr:from>
    <xdr:to>
      <xdr:col>15</xdr:col>
      <xdr:colOff>123825</xdr:colOff>
      <xdr:row>9</xdr:row>
      <xdr:rowOff>74811</xdr:rowOff>
    </xdr:to>
    <xdr:sp macro="[0]!Drum100" textlink="">
      <xdr:nvSpPr>
        <xdr:cNvPr id="21" name="Rect 100" hidden="1"/>
        <xdr:cNvSpPr/>
      </xdr:nvSpPr>
      <xdr:spPr>
        <a:xfrm>
          <a:off x="10448925" y="1427361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100</a:t>
          </a:r>
        </a:p>
      </xdr:txBody>
    </xdr:sp>
    <xdr:clientData/>
  </xdr:twoCellAnchor>
  <xdr:twoCellAnchor>
    <xdr:from>
      <xdr:col>12</xdr:col>
      <xdr:colOff>209550</xdr:colOff>
      <xdr:row>10</xdr:row>
      <xdr:rowOff>121047</xdr:rowOff>
    </xdr:from>
    <xdr:to>
      <xdr:col>13</xdr:col>
      <xdr:colOff>438150</xdr:colOff>
      <xdr:row>12</xdr:row>
      <xdr:rowOff>111522</xdr:rowOff>
    </xdr:to>
    <xdr:sp macro="[0]!Drum110" textlink="">
      <xdr:nvSpPr>
        <xdr:cNvPr id="22" name="Rect 110" hidden="1"/>
        <xdr:cNvSpPr/>
      </xdr:nvSpPr>
      <xdr:spPr>
        <a:xfrm>
          <a:off x="9239250" y="2035572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110</a:t>
          </a:r>
        </a:p>
      </xdr:txBody>
    </xdr:sp>
    <xdr:clientData/>
  </xdr:twoCellAnchor>
  <xdr:twoCellAnchor>
    <xdr:from>
      <xdr:col>13</xdr:col>
      <xdr:colOff>657225</xdr:colOff>
      <xdr:row>10</xdr:row>
      <xdr:rowOff>121047</xdr:rowOff>
    </xdr:from>
    <xdr:to>
      <xdr:col>15</xdr:col>
      <xdr:colOff>123825</xdr:colOff>
      <xdr:row>12</xdr:row>
      <xdr:rowOff>111522</xdr:rowOff>
    </xdr:to>
    <xdr:sp macro="[0]!Drum115" textlink="">
      <xdr:nvSpPr>
        <xdr:cNvPr id="23" name="Rect 115" hidden="1"/>
        <xdr:cNvSpPr/>
      </xdr:nvSpPr>
      <xdr:spPr>
        <a:xfrm>
          <a:off x="10448925" y="2035572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115</a:t>
          </a:r>
        </a:p>
      </xdr:txBody>
    </xdr:sp>
    <xdr:clientData/>
  </xdr:twoCellAnchor>
  <xdr:twoCellAnchor>
    <xdr:from>
      <xdr:col>12</xdr:col>
      <xdr:colOff>209550</xdr:colOff>
      <xdr:row>13</xdr:row>
      <xdr:rowOff>157758</xdr:rowOff>
    </xdr:from>
    <xdr:to>
      <xdr:col>13</xdr:col>
      <xdr:colOff>438150</xdr:colOff>
      <xdr:row>15</xdr:row>
      <xdr:rowOff>148233</xdr:rowOff>
    </xdr:to>
    <xdr:sp macro="[0]!Drum120" textlink="">
      <xdr:nvSpPr>
        <xdr:cNvPr id="26" name="Rect 120" hidden="1"/>
        <xdr:cNvSpPr/>
      </xdr:nvSpPr>
      <xdr:spPr>
        <a:xfrm>
          <a:off x="9239250" y="2643783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120</a:t>
          </a:r>
        </a:p>
      </xdr:txBody>
    </xdr:sp>
    <xdr:clientData/>
  </xdr:twoCellAnchor>
  <xdr:twoCellAnchor>
    <xdr:from>
      <xdr:col>13</xdr:col>
      <xdr:colOff>657225</xdr:colOff>
      <xdr:row>13</xdr:row>
      <xdr:rowOff>157758</xdr:rowOff>
    </xdr:from>
    <xdr:to>
      <xdr:col>15</xdr:col>
      <xdr:colOff>123825</xdr:colOff>
      <xdr:row>15</xdr:row>
      <xdr:rowOff>148233</xdr:rowOff>
    </xdr:to>
    <xdr:sp macro="[0]!Drum140" textlink="">
      <xdr:nvSpPr>
        <xdr:cNvPr id="27" name="Rect 140" hidden="1"/>
        <xdr:cNvSpPr/>
      </xdr:nvSpPr>
      <xdr:spPr>
        <a:xfrm>
          <a:off x="10448925" y="2643783"/>
          <a:ext cx="990600" cy="3714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140</a:t>
          </a:r>
        </a:p>
      </xdr:txBody>
    </xdr:sp>
    <xdr:clientData/>
  </xdr:twoCellAnchor>
  <xdr:twoCellAnchor>
    <xdr:from>
      <xdr:col>12</xdr:col>
      <xdr:colOff>209550</xdr:colOff>
      <xdr:row>17</xdr:row>
      <xdr:rowOff>3968</xdr:rowOff>
    </xdr:from>
    <xdr:to>
      <xdr:col>13</xdr:col>
      <xdr:colOff>438150</xdr:colOff>
      <xdr:row>19</xdr:row>
      <xdr:rowOff>114300</xdr:rowOff>
    </xdr:to>
    <xdr:sp macro="[0]!Drum160_little" textlink="">
      <xdr:nvSpPr>
        <xdr:cNvPr id="28" name="Rect 160 little" hidden="1"/>
        <xdr:cNvSpPr/>
      </xdr:nvSpPr>
      <xdr:spPr>
        <a:xfrm>
          <a:off x="9239250" y="3251993"/>
          <a:ext cx="990600" cy="50085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160</a:t>
          </a:r>
        </a:p>
        <a:p>
          <a:pPr marL="0" indent="0" algn="ctr"/>
          <a:r>
            <a:rPr lang="fa-IR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دهنه کوچک</a:t>
          </a:r>
          <a:endParaRPr lang="en-US" sz="1100">
            <a:solidFill>
              <a:sysClr val="windowText" lastClr="000000"/>
            </a:solidFill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  <xdr:twoCellAnchor>
    <xdr:from>
      <xdr:col>13</xdr:col>
      <xdr:colOff>657225</xdr:colOff>
      <xdr:row>17</xdr:row>
      <xdr:rowOff>3968</xdr:rowOff>
    </xdr:from>
    <xdr:to>
      <xdr:col>15</xdr:col>
      <xdr:colOff>123825</xdr:colOff>
      <xdr:row>19</xdr:row>
      <xdr:rowOff>114300</xdr:rowOff>
    </xdr:to>
    <xdr:sp macro="[0]!Drum160_big" textlink="">
      <xdr:nvSpPr>
        <xdr:cNvPr id="34" name="Rect 160 big" hidden="1"/>
        <xdr:cNvSpPr/>
      </xdr:nvSpPr>
      <xdr:spPr>
        <a:xfrm>
          <a:off x="10448925" y="3251993"/>
          <a:ext cx="990600" cy="50085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160</a:t>
          </a:r>
        </a:p>
        <a:p>
          <a:pPr marL="0" indent="0" algn="ctr"/>
          <a:r>
            <a:rPr lang="fa-IR" sz="1100">
              <a:solidFill>
                <a:sysClr val="windowText" lastClr="000000"/>
              </a:solidFill>
              <a:latin typeface="Times New Roman" pitchFamily="18" charset="0"/>
              <a:ea typeface="+mn-ea"/>
              <a:cs typeface="Times New Roman" pitchFamily="18" charset="0"/>
            </a:rPr>
            <a:t>دهنه بزرگ</a:t>
          </a:r>
          <a:endParaRPr lang="en-US" sz="1100">
            <a:solidFill>
              <a:sysClr val="windowText" lastClr="000000"/>
            </a:solidFill>
            <a:latin typeface="Times New Roman" pitchFamily="18" charset="0"/>
            <a:ea typeface="+mn-ea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752474</xdr:colOff>
      <xdr:row>20</xdr:row>
      <xdr:rowOff>28575</xdr:rowOff>
    </xdr:from>
    <xdr:to>
      <xdr:col>12</xdr:col>
      <xdr:colOff>28575</xdr:colOff>
      <xdr:row>24</xdr:row>
      <xdr:rowOff>142875</xdr:rowOff>
    </xdr:to>
    <xdr:sp macro="[0]!Barrel_Dia" textlink="">
      <xdr:nvSpPr>
        <xdr:cNvPr id="35" name="Barrel Dia"/>
        <xdr:cNvSpPr/>
      </xdr:nvSpPr>
      <xdr:spPr>
        <a:xfrm>
          <a:off x="6086474" y="3857625"/>
          <a:ext cx="2971801" cy="89535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 rtl="1"/>
          <a:r>
            <a:rPr lang="fa-IR" sz="1800">
              <a:solidFill>
                <a:schemeClr val="lt1"/>
              </a:solidFill>
              <a:latin typeface="Times New Roman" pitchFamily="18" charset="0"/>
              <a:ea typeface="+mn-ea"/>
              <a:cs typeface="B Nazanin" pitchFamily="2" charset="-78"/>
            </a:rPr>
            <a:t>مینیم</a:t>
          </a:r>
          <a:r>
            <a:rPr lang="fa-IR" sz="1800" baseline="0">
              <a:solidFill>
                <a:schemeClr val="lt1"/>
              </a:solidFill>
              <a:latin typeface="Times New Roman" pitchFamily="18" charset="0"/>
              <a:ea typeface="+mn-ea"/>
              <a:cs typeface="B Nazanin" pitchFamily="2" charset="-78"/>
            </a:rPr>
            <a:t>م قطر بارل برای کابل مورد نظر!</a:t>
          </a:r>
          <a:endParaRPr lang="en-US" sz="1800">
            <a:solidFill>
              <a:schemeClr val="lt1"/>
            </a:solidFill>
            <a:latin typeface="Times New Roman" pitchFamily="18" charset="0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0</xdr:col>
      <xdr:colOff>647700</xdr:colOff>
      <xdr:row>0</xdr:row>
      <xdr:rowOff>133350</xdr:rowOff>
    </xdr:from>
    <xdr:to>
      <xdr:col>7</xdr:col>
      <xdr:colOff>142875</xdr:colOff>
      <xdr:row>24</xdr:row>
      <xdr:rowOff>47625</xdr:rowOff>
    </xdr:to>
    <xdr:sp macro="[0]!Hidden_barrel" textlink="">
      <xdr:nvSpPr>
        <xdr:cNvPr id="36" name="Cross" hidden="1"/>
        <xdr:cNvSpPr/>
      </xdr:nvSpPr>
      <xdr:spPr>
        <a:xfrm>
          <a:off x="647700" y="133350"/>
          <a:ext cx="4829175" cy="4505325"/>
        </a:xfrm>
        <a:prstGeom prst="mathMultiply">
          <a:avLst>
            <a:gd name="adj1" fmla="val 102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47629</xdr:colOff>
      <xdr:row>4</xdr:row>
      <xdr:rowOff>171452</xdr:rowOff>
    </xdr:from>
    <xdr:to>
      <xdr:col>5</xdr:col>
      <xdr:colOff>390527</xdr:colOff>
      <xdr:row>17</xdr:row>
      <xdr:rowOff>123828</xdr:rowOff>
    </xdr:to>
    <xdr:grpSp>
      <xdr:nvGrpSpPr>
        <xdr:cNvPr id="45" name="Tic" hidden="1"/>
        <xdr:cNvGrpSpPr/>
      </xdr:nvGrpSpPr>
      <xdr:grpSpPr>
        <a:xfrm>
          <a:off x="2333629" y="952502"/>
          <a:ext cx="1866898" cy="2457451"/>
          <a:chOff x="2457454" y="1228727"/>
          <a:chExt cx="1866898" cy="2438401"/>
        </a:xfrm>
      </xdr:grpSpPr>
      <xdr:cxnSp macro="[0]!Hidden_barrel">
        <xdr:nvCxnSpPr>
          <xdr:cNvPr id="40" name="Straight Connector 39" hidden="1"/>
          <xdr:cNvCxnSpPr/>
        </xdr:nvCxnSpPr>
        <xdr:spPr>
          <a:xfrm rot="5400000">
            <a:off x="2486026" y="1828802"/>
            <a:ext cx="2438401" cy="1238251"/>
          </a:xfrm>
          <a:prstGeom prst="line">
            <a:avLst/>
          </a:prstGeom>
          <a:ln w="44450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[0]!Hidden_barrel">
        <xdr:nvCxnSpPr>
          <xdr:cNvPr id="43" name="Straight Connector 42" hidden="1"/>
          <xdr:cNvCxnSpPr/>
        </xdr:nvCxnSpPr>
        <xdr:spPr>
          <a:xfrm rot="16200000" flipH="1">
            <a:off x="2133603" y="2628902"/>
            <a:ext cx="1362073" cy="714372"/>
          </a:xfrm>
          <a:prstGeom prst="line">
            <a:avLst/>
          </a:prstGeom>
          <a:ln w="444500">
            <a:solidFill>
              <a:srgbClr val="00B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752474</xdr:colOff>
      <xdr:row>18</xdr:row>
      <xdr:rowOff>133350</xdr:rowOff>
    </xdr:from>
    <xdr:to>
      <xdr:col>12</xdr:col>
      <xdr:colOff>28575</xdr:colOff>
      <xdr:row>21</xdr:row>
      <xdr:rowOff>38100</xdr:rowOff>
    </xdr:to>
    <xdr:sp macro="[0]!Cond_Ok" textlink="">
      <xdr:nvSpPr>
        <xdr:cNvPr id="37" name="Cond Dia" hidden="1"/>
        <xdr:cNvSpPr/>
      </xdr:nvSpPr>
      <xdr:spPr>
        <a:xfrm>
          <a:off x="6086474" y="3581400"/>
          <a:ext cx="2971801" cy="47625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 rtl="1"/>
          <a:r>
            <a:rPr lang="fa-IR" sz="1400">
              <a:solidFill>
                <a:schemeClr val="lt1"/>
              </a:solidFill>
              <a:latin typeface="Times New Roman" pitchFamily="18" charset="0"/>
              <a:ea typeface="+mn-ea"/>
              <a:cs typeface="B Nazanin" pitchFamily="2" charset="-78"/>
            </a:rPr>
            <a:t>قطر</a:t>
          </a:r>
          <a:r>
            <a:rPr lang="fa-IR" sz="1400" baseline="0">
              <a:solidFill>
                <a:schemeClr val="lt1"/>
              </a:solidFill>
              <a:latin typeface="Times New Roman" pitchFamily="18" charset="0"/>
              <a:ea typeface="+mn-ea"/>
              <a:cs typeface="B Nazanin" pitchFamily="2" charset="-78"/>
            </a:rPr>
            <a:t> هادی را وارد کرده و کلید </a:t>
          </a:r>
          <a:r>
            <a:rPr lang="en-US" sz="1400" baseline="0">
              <a:solidFill>
                <a:schemeClr val="lt1"/>
              </a:solidFill>
              <a:latin typeface="Times New Roman" pitchFamily="18" charset="0"/>
              <a:ea typeface="+mn-ea"/>
              <a:cs typeface="B Nazanin" pitchFamily="2" charset="-78"/>
            </a:rPr>
            <a:t>OK</a:t>
          </a:r>
          <a:r>
            <a:rPr lang="fa-IR" sz="1400" baseline="0">
              <a:solidFill>
                <a:schemeClr val="lt1"/>
              </a:solidFill>
              <a:latin typeface="Times New Roman" pitchFamily="18" charset="0"/>
              <a:ea typeface="+mn-ea"/>
              <a:cs typeface="B Nazanin" pitchFamily="2" charset="-78"/>
            </a:rPr>
            <a:t> را بزنید.</a:t>
          </a:r>
          <a:endParaRPr lang="en-US" sz="1400">
            <a:solidFill>
              <a:schemeClr val="lt1"/>
            </a:solidFill>
            <a:latin typeface="Times New Roman" pitchFamily="18" charset="0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9</xdr:col>
      <xdr:colOff>514350</xdr:colOff>
      <xdr:row>23</xdr:row>
      <xdr:rowOff>171450</xdr:rowOff>
    </xdr:from>
    <xdr:to>
      <xdr:col>10</xdr:col>
      <xdr:colOff>638175</xdr:colOff>
      <xdr:row>25</xdr:row>
      <xdr:rowOff>152400</xdr:rowOff>
    </xdr:to>
    <xdr:sp macro="[0]!Cond_Ok" textlink="">
      <xdr:nvSpPr>
        <xdr:cNvPr id="42" name="Cond Ok" hidden="1"/>
        <xdr:cNvSpPr/>
      </xdr:nvSpPr>
      <xdr:spPr>
        <a:xfrm>
          <a:off x="7096125" y="4572000"/>
          <a:ext cx="990600" cy="3714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latin typeface="Times New Roman" pitchFamily="18" charset="0"/>
              <a:ea typeface="+mn-ea"/>
              <a:cs typeface="Times New Roman" pitchFamily="18" charset="0"/>
            </a:rPr>
            <a:t>OK</a:t>
          </a:r>
        </a:p>
      </xdr:txBody>
    </xdr:sp>
    <xdr:clientData/>
  </xdr:twoCellAnchor>
  <xdr:twoCellAnchor>
    <xdr:from>
      <xdr:col>10</xdr:col>
      <xdr:colOff>247650</xdr:colOff>
      <xdr:row>19</xdr:row>
      <xdr:rowOff>47625</xdr:rowOff>
    </xdr:from>
    <xdr:to>
      <xdr:col>12</xdr:col>
      <xdr:colOff>123826</xdr:colOff>
      <xdr:row>21</xdr:row>
      <xdr:rowOff>38100</xdr:rowOff>
    </xdr:to>
    <xdr:sp macro="[0]!one_phase_no_lead" textlink="">
      <xdr:nvSpPr>
        <xdr:cNvPr id="44" name="1phase lead" hidden="1"/>
        <xdr:cNvSpPr/>
      </xdr:nvSpPr>
      <xdr:spPr>
        <a:xfrm>
          <a:off x="7696200" y="3686175"/>
          <a:ext cx="1457326" cy="3714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 rtl="1"/>
          <a:r>
            <a:rPr lang="fa-IR" sz="110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تکفاز بدون روکش سرب</a:t>
          </a:r>
          <a:endParaRPr lang="en-US" sz="1100">
            <a:solidFill>
              <a:schemeClr val="lt1"/>
            </a:solidFill>
            <a:latin typeface="+mn-lt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7</xdr:col>
      <xdr:colOff>600075</xdr:colOff>
      <xdr:row>19</xdr:row>
      <xdr:rowOff>47625</xdr:rowOff>
    </xdr:from>
    <xdr:to>
      <xdr:col>9</xdr:col>
      <xdr:colOff>809626</xdr:colOff>
      <xdr:row>21</xdr:row>
      <xdr:rowOff>38100</xdr:rowOff>
    </xdr:to>
    <xdr:sp macro="[0]!one_phase_lead" textlink="">
      <xdr:nvSpPr>
        <xdr:cNvPr id="46" name="1phase no lead" hidden="1"/>
        <xdr:cNvSpPr/>
      </xdr:nvSpPr>
      <xdr:spPr>
        <a:xfrm>
          <a:off x="5934075" y="3686175"/>
          <a:ext cx="1457326" cy="3714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 rtl="1"/>
          <a:r>
            <a:rPr lang="fa-IR" sz="110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تکفاز با روکش</a:t>
          </a:r>
          <a:r>
            <a:rPr lang="fa-IR" sz="1100" baseline="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 سرب</a:t>
          </a:r>
          <a:endParaRPr lang="en-US" sz="1100">
            <a:solidFill>
              <a:schemeClr val="lt1"/>
            </a:solidFill>
            <a:latin typeface="+mn-lt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10</xdr:col>
      <xdr:colOff>247650</xdr:colOff>
      <xdr:row>23</xdr:row>
      <xdr:rowOff>114300</xdr:rowOff>
    </xdr:from>
    <xdr:to>
      <xdr:col>12</xdr:col>
      <xdr:colOff>123826</xdr:colOff>
      <xdr:row>25</xdr:row>
      <xdr:rowOff>95250</xdr:rowOff>
    </xdr:to>
    <xdr:sp macro="[0]!three_phase_no_lead" textlink="">
      <xdr:nvSpPr>
        <xdr:cNvPr id="47" name="3phase lead" hidden="1"/>
        <xdr:cNvSpPr/>
      </xdr:nvSpPr>
      <xdr:spPr>
        <a:xfrm>
          <a:off x="7696200" y="4533900"/>
          <a:ext cx="1457326" cy="3714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 rtl="1"/>
          <a:r>
            <a:rPr lang="fa-IR" sz="110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سه</a:t>
          </a:r>
          <a:r>
            <a:rPr lang="fa-IR" sz="1100" baseline="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 </a:t>
          </a:r>
          <a:r>
            <a:rPr lang="fa-IR" sz="110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فاز بدون روکش سرب</a:t>
          </a:r>
          <a:endParaRPr lang="en-US" sz="1100">
            <a:solidFill>
              <a:schemeClr val="lt1"/>
            </a:solidFill>
            <a:latin typeface="+mn-lt"/>
            <a:ea typeface="+mn-ea"/>
            <a:cs typeface="B Nazanin" pitchFamily="2" charset="-78"/>
          </a:endParaRPr>
        </a:p>
      </xdr:txBody>
    </xdr:sp>
    <xdr:clientData/>
  </xdr:twoCellAnchor>
  <xdr:twoCellAnchor>
    <xdr:from>
      <xdr:col>7</xdr:col>
      <xdr:colOff>600075</xdr:colOff>
      <xdr:row>23</xdr:row>
      <xdr:rowOff>114300</xdr:rowOff>
    </xdr:from>
    <xdr:to>
      <xdr:col>9</xdr:col>
      <xdr:colOff>809626</xdr:colOff>
      <xdr:row>25</xdr:row>
      <xdr:rowOff>95250</xdr:rowOff>
    </xdr:to>
    <xdr:sp macro="[0]!three_phase_lead" textlink="">
      <xdr:nvSpPr>
        <xdr:cNvPr id="48" name="3phase no lead" hidden="1"/>
        <xdr:cNvSpPr/>
      </xdr:nvSpPr>
      <xdr:spPr>
        <a:xfrm>
          <a:off x="5934075" y="4533900"/>
          <a:ext cx="1457326" cy="3714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 rtl="1"/>
          <a:r>
            <a:rPr lang="fa-IR" sz="110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سه فاز با روکش</a:t>
          </a:r>
          <a:r>
            <a:rPr lang="fa-IR" sz="1100" baseline="0">
              <a:solidFill>
                <a:schemeClr val="lt1"/>
              </a:solidFill>
              <a:latin typeface="+mn-lt"/>
              <a:ea typeface="+mn-ea"/>
              <a:cs typeface="B Nazanin" pitchFamily="2" charset="-78"/>
            </a:rPr>
            <a:t> سرب</a:t>
          </a:r>
          <a:endParaRPr lang="en-US" sz="1100">
            <a:solidFill>
              <a:schemeClr val="lt1"/>
            </a:solidFill>
            <a:latin typeface="+mn-lt"/>
            <a:ea typeface="+mn-ea"/>
            <a:cs typeface="B Nazanin" pitchFamily="2" charset="-78"/>
          </a:endParaRPr>
        </a:p>
      </xdr:txBody>
    </xdr:sp>
    <xdr:clientData/>
  </xdr:twoCellAnchor>
  <xdr:twoCellAnchor editAs="oneCell">
    <xdr:from>
      <xdr:col>0</xdr:col>
      <xdr:colOff>142875</xdr:colOff>
      <xdr:row>3</xdr:row>
      <xdr:rowOff>17035</xdr:rowOff>
    </xdr:from>
    <xdr:to>
      <xdr:col>7</xdr:col>
      <xdr:colOff>550449</xdr:colOff>
      <xdr:row>20</xdr:row>
      <xdr:rowOff>104775</xdr:rowOff>
    </xdr:to>
    <xdr:pic macro="[0]!Standard_Big">
      <xdr:nvPicPr>
        <xdr:cNvPr id="2" name="Standard Big" hidden="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2875" y="588535"/>
          <a:ext cx="5741574" cy="336434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47112</xdr:colOff>
      <xdr:row>23</xdr:row>
      <xdr:rowOff>28575</xdr:rowOff>
    </xdr:from>
    <xdr:to>
      <xdr:col>1</xdr:col>
      <xdr:colOff>198850</xdr:colOff>
      <xdr:row>25</xdr:row>
      <xdr:rowOff>173464</xdr:rowOff>
    </xdr:to>
    <xdr:pic macro="[0]!Standard_little">
      <xdr:nvPicPr>
        <xdr:cNvPr id="52" name="Standard Little" hidden="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112" y="4448175"/>
          <a:ext cx="913738" cy="535414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57150</xdr:rowOff>
    </xdr:from>
    <xdr:to>
      <xdr:col>4</xdr:col>
      <xdr:colOff>523875</xdr:colOff>
      <xdr:row>8</xdr:row>
      <xdr:rowOff>180975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57150"/>
          <a:ext cx="2943225" cy="16954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26"/>
  <sheetViews>
    <sheetView showGridLines="0" tabSelected="1" workbookViewId="0">
      <selection activeCell="N25" sqref="N25"/>
    </sheetView>
  </sheetViews>
  <sheetFormatPr defaultRowHeight="15"/>
  <cols>
    <col min="9" max="9" width="5.6640625" customWidth="1"/>
    <col min="10" max="10" width="10.109375" style="2" customWidth="1"/>
    <col min="11" max="11" width="9.5546875" style="2" customWidth="1"/>
  </cols>
  <sheetData>
    <row r="1" spans="1:19" ht="15.75" thickBot="1">
      <c r="R1" s="58" t="s">
        <v>34</v>
      </c>
      <c r="S1" s="59"/>
    </row>
    <row r="2" spans="1:19" ht="15.75" thickBot="1">
      <c r="J2"/>
      <c r="K2"/>
      <c r="R2" s="58" t="s">
        <v>35</v>
      </c>
      <c r="S2" s="58" t="s">
        <v>36</v>
      </c>
    </row>
    <row r="3" spans="1:19">
      <c r="J3"/>
      <c r="K3"/>
      <c r="R3" s="57">
        <v>35</v>
      </c>
      <c r="S3" s="60">
        <v>6.9</v>
      </c>
    </row>
    <row r="4" spans="1:19">
      <c r="J4"/>
      <c r="K4"/>
      <c r="R4" s="55">
        <v>50</v>
      </c>
      <c r="S4" s="53">
        <v>8.1</v>
      </c>
    </row>
    <row r="5" spans="1:19">
      <c r="J5"/>
      <c r="K5"/>
      <c r="R5" s="55">
        <v>70</v>
      </c>
      <c r="S5" s="53">
        <v>9.6999999999999993</v>
      </c>
    </row>
    <row r="6" spans="1:19" ht="15.75" thickBot="1">
      <c r="R6" s="55">
        <v>95</v>
      </c>
      <c r="S6" s="53">
        <v>11.4</v>
      </c>
    </row>
    <row r="7" spans="1:19">
      <c r="I7" s="22" t="s">
        <v>2</v>
      </c>
      <c r="J7" s="23" t="s">
        <v>6</v>
      </c>
      <c r="K7" s="23">
        <v>2250</v>
      </c>
      <c r="L7" s="24" t="s">
        <v>0</v>
      </c>
      <c r="R7" s="55">
        <v>120</v>
      </c>
      <c r="S7" s="53">
        <v>12.7</v>
      </c>
    </row>
    <row r="8" spans="1:19">
      <c r="H8" s="21"/>
      <c r="I8" s="25" t="s">
        <v>3</v>
      </c>
      <c r="J8" s="26" t="s">
        <v>11</v>
      </c>
      <c r="K8" s="39">
        <v>1210</v>
      </c>
      <c r="L8" s="38" t="s">
        <v>0</v>
      </c>
      <c r="R8" s="55">
        <v>150</v>
      </c>
      <c r="S8" s="53">
        <v>14.3</v>
      </c>
    </row>
    <row r="9" spans="1:19">
      <c r="I9" s="25" t="s">
        <v>4</v>
      </c>
      <c r="J9" s="26" t="s">
        <v>7</v>
      </c>
      <c r="K9" s="26">
        <v>1190</v>
      </c>
      <c r="L9" s="27" t="s">
        <v>0</v>
      </c>
      <c r="R9" s="55">
        <v>185</v>
      </c>
      <c r="S9" s="53">
        <v>16</v>
      </c>
    </row>
    <row r="10" spans="1:19">
      <c r="I10" s="25" t="s">
        <v>14</v>
      </c>
      <c r="J10" s="26" t="s">
        <v>15</v>
      </c>
      <c r="K10" s="26">
        <v>43</v>
      </c>
      <c r="L10" s="28" t="s">
        <v>0</v>
      </c>
      <c r="R10" s="55">
        <v>240</v>
      </c>
      <c r="S10" s="53">
        <v>18.399999999999999</v>
      </c>
    </row>
    <row r="11" spans="1:19">
      <c r="I11" s="46"/>
      <c r="J11" s="47"/>
      <c r="K11" s="47"/>
      <c r="L11" s="48"/>
      <c r="R11" s="55">
        <v>300</v>
      </c>
      <c r="S11" s="53">
        <v>20.7</v>
      </c>
    </row>
    <row r="12" spans="1:19">
      <c r="A12" s="1"/>
      <c r="I12" s="43" t="s">
        <v>12</v>
      </c>
      <c r="J12" s="44"/>
      <c r="K12" s="44"/>
      <c r="L12" s="45"/>
      <c r="R12" s="55">
        <v>400</v>
      </c>
      <c r="S12" s="53">
        <v>23.2</v>
      </c>
    </row>
    <row r="13" spans="1:19">
      <c r="I13" s="25" t="s">
        <v>1</v>
      </c>
      <c r="J13" s="26" t="s">
        <v>8</v>
      </c>
      <c r="K13" s="26">
        <v>43.3</v>
      </c>
      <c r="L13" s="27" t="s">
        <v>0</v>
      </c>
      <c r="R13" s="55">
        <v>500</v>
      </c>
      <c r="S13" s="53">
        <v>27</v>
      </c>
    </row>
    <row r="14" spans="1:19" ht="15.75" thickBot="1">
      <c r="I14" s="25" t="s">
        <v>5</v>
      </c>
      <c r="J14" s="26" t="s">
        <v>9</v>
      </c>
      <c r="K14" s="29">
        <f>Sheet2!G7</f>
        <v>1514</v>
      </c>
      <c r="L14" s="27" t="s">
        <v>10</v>
      </c>
      <c r="R14" s="56">
        <v>630</v>
      </c>
      <c r="S14" s="54">
        <v>30.5</v>
      </c>
    </row>
    <row r="15" spans="1:19" ht="15.75" thickBot="1">
      <c r="I15" s="46"/>
      <c r="J15" s="47"/>
      <c r="K15" s="47"/>
      <c r="L15" s="48"/>
      <c r="R15" s="61">
        <f>K23</f>
        <v>95</v>
      </c>
      <c r="S15" s="61">
        <f>IF(R15=0,0,VLOOKUP(R15,R3:S14,2))</f>
        <v>11.4</v>
      </c>
    </row>
    <row r="16" spans="1:19">
      <c r="I16" s="43" t="s">
        <v>13</v>
      </c>
      <c r="J16" s="44"/>
      <c r="K16" s="44"/>
      <c r="L16" s="45"/>
    </row>
    <row r="17" spans="3:12">
      <c r="I17" s="25" t="s">
        <v>5</v>
      </c>
      <c r="J17" s="26" t="s">
        <v>9</v>
      </c>
      <c r="K17" s="26">
        <v>2000</v>
      </c>
      <c r="L17" s="27" t="s">
        <v>10</v>
      </c>
    </row>
    <row r="18" spans="3:12" ht="15.75" thickBot="1">
      <c r="I18" s="30" t="s">
        <v>1</v>
      </c>
      <c r="J18" s="31" t="s">
        <v>8</v>
      </c>
      <c r="K18" s="32">
        <f>Sheet2!J6</f>
        <v>37</v>
      </c>
      <c r="L18" s="33" t="s">
        <v>0</v>
      </c>
    </row>
    <row r="22" spans="3:12" ht="15.75" thickBot="1"/>
    <row r="23" spans="3:12" ht="15.75" thickBot="1">
      <c r="I23" s="34" t="s">
        <v>32</v>
      </c>
      <c r="J23" s="35" t="s">
        <v>33</v>
      </c>
      <c r="K23" s="36">
        <v>95</v>
      </c>
      <c r="L23" s="37" t="s">
        <v>0</v>
      </c>
    </row>
    <row r="25" spans="3:12" ht="15.75" thickBot="1"/>
    <row r="26" spans="3:12" ht="15.75" thickBot="1">
      <c r="C26" s="40" t="s">
        <v>17</v>
      </c>
      <c r="D26" s="41"/>
      <c r="E26" s="42"/>
      <c r="F26" s="20">
        <v>0.95</v>
      </c>
    </row>
  </sheetData>
  <mergeCells count="5">
    <mergeCell ref="C26:E26"/>
    <mergeCell ref="I16:L16"/>
    <mergeCell ref="I15:L15"/>
    <mergeCell ref="I12:L12"/>
    <mergeCell ref="I11:L11"/>
  </mergeCells>
  <dataValidations count="1">
    <dataValidation type="list" allowBlank="1" showInputMessage="1" showErrorMessage="1" sqref="K23">
      <formula1>$R$3:$R$14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S23"/>
  <sheetViews>
    <sheetView workbookViewId="0">
      <selection activeCell="Q1" sqref="Q1:R14"/>
    </sheetView>
  </sheetViews>
  <sheetFormatPr defaultRowHeight="15"/>
  <cols>
    <col min="2" max="8" width="6.6640625" customWidth="1"/>
    <col min="9" max="9" width="6.6640625" style="3" customWidth="1"/>
    <col min="10" max="10" width="8.88671875" style="3" customWidth="1"/>
    <col min="11" max="11" width="7.5546875" customWidth="1"/>
    <col min="12" max="19" width="6.6640625" customWidth="1"/>
  </cols>
  <sheetData>
    <row r="3" spans="1:11" ht="15.75" thickBot="1"/>
    <row r="4" spans="1:11" ht="15.75" thickBot="1">
      <c r="F4" s="49" t="s">
        <v>12</v>
      </c>
      <c r="G4" s="50"/>
      <c r="I4" s="49" t="s">
        <v>20</v>
      </c>
      <c r="J4" s="50"/>
    </row>
    <row r="5" spans="1:11">
      <c r="F5" s="18" t="s">
        <v>16</v>
      </c>
      <c r="G5" s="14">
        <f>FLOOR(Sheet1!F26*Sheet1!K9/Sheet1!K13,1)</f>
        <v>26</v>
      </c>
      <c r="I5" s="18"/>
      <c r="J5" s="14"/>
    </row>
    <row r="6" spans="1:11">
      <c r="F6" s="5" t="s">
        <v>18</v>
      </c>
      <c r="G6" s="6">
        <f>FLOOR((Sheet1!K7-Sheet1!K8-2*Sheet1!K10)/(2*Sheet1!K13),1)</f>
        <v>11</v>
      </c>
      <c r="I6" s="5" t="s">
        <v>21</v>
      </c>
      <c r="J6" s="6">
        <f>FLOOR(SQRT(3.14*Sheet1!F26*Sheet1!K9*(Sheet1!K7-Sheet1!K8-2*Sheet1!K10)*(Sheet1!K7+Sheet1!K8-2*Sheet1!K10)/(4000*Sheet1!K17)),1)</f>
        <v>37</v>
      </c>
    </row>
    <row r="7" spans="1:11" ht="15.75" thickBot="1">
      <c r="F7" s="7" t="s">
        <v>19</v>
      </c>
      <c r="G7" s="8">
        <f>FLOOR(3.14*G5*G6*(Sheet1!K8+Sheet2!G6*Sheet1!K13)/1000,1)</f>
        <v>1514</v>
      </c>
      <c r="I7" s="7"/>
      <c r="J7" s="8"/>
    </row>
    <row r="10" spans="1:11" ht="15.75" thickBot="1"/>
    <row r="11" spans="1:11" ht="15.75" thickBot="1">
      <c r="A11" s="15" t="s">
        <v>22</v>
      </c>
      <c r="B11" s="16">
        <v>70</v>
      </c>
      <c r="C11" s="16">
        <v>80</v>
      </c>
      <c r="D11" s="16">
        <v>90</v>
      </c>
      <c r="E11" s="16">
        <v>100</v>
      </c>
      <c r="F11" s="16">
        <v>110</v>
      </c>
      <c r="G11" s="16">
        <v>115</v>
      </c>
      <c r="H11" s="16">
        <v>120</v>
      </c>
      <c r="I11" s="16">
        <v>140</v>
      </c>
      <c r="J11" s="16" t="s">
        <v>30</v>
      </c>
      <c r="K11" s="19" t="s">
        <v>31</v>
      </c>
    </row>
    <row r="12" spans="1:11">
      <c r="A12" s="12" t="s">
        <v>23</v>
      </c>
      <c r="B12" s="13">
        <v>700</v>
      </c>
      <c r="C12" s="13">
        <v>800</v>
      </c>
      <c r="D12" s="13">
        <v>900</v>
      </c>
      <c r="E12" s="13">
        <v>1000</v>
      </c>
      <c r="F12" s="13">
        <v>1100</v>
      </c>
      <c r="G12" s="13">
        <v>1150</v>
      </c>
      <c r="H12" s="13">
        <v>1200</v>
      </c>
      <c r="I12" s="13">
        <v>1400</v>
      </c>
      <c r="J12" s="13">
        <v>1600</v>
      </c>
      <c r="K12" s="14">
        <v>1600</v>
      </c>
    </row>
    <row r="13" spans="1:11">
      <c r="A13" s="9" t="s">
        <v>24</v>
      </c>
      <c r="B13" s="4">
        <v>330</v>
      </c>
      <c r="C13" s="4">
        <v>390</v>
      </c>
      <c r="D13" s="4">
        <v>450</v>
      </c>
      <c r="E13" s="4">
        <v>530</v>
      </c>
      <c r="F13" s="4">
        <v>570</v>
      </c>
      <c r="G13" s="4">
        <v>570</v>
      </c>
      <c r="H13" s="4">
        <v>570</v>
      </c>
      <c r="I13" s="4">
        <v>650</v>
      </c>
      <c r="J13" s="4">
        <v>750</v>
      </c>
      <c r="K13" s="6">
        <v>750</v>
      </c>
    </row>
    <row r="14" spans="1:11">
      <c r="A14" s="9" t="s">
        <v>25</v>
      </c>
      <c r="B14" s="4">
        <v>500</v>
      </c>
      <c r="C14" s="4">
        <v>550</v>
      </c>
      <c r="D14" s="4">
        <v>600</v>
      </c>
      <c r="E14" s="4">
        <v>770</v>
      </c>
      <c r="F14" s="4">
        <v>780</v>
      </c>
      <c r="G14" s="4">
        <v>780</v>
      </c>
      <c r="H14" s="4">
        <v>780</v>
      </c>
      <c r="I14" s="4">
        <v>830</v>
      </c>
      <c r="J14" s="4">
        <v>930</v>
      </c>
      <c r="K14" s="6">
        <v>1210</v>
      </c>
    </row>
    <row r="15" spans="1:11" ht="15.75" thickBot="1">
      <c r="A15" s="10" t="s">
        <v>29</v>
      </c>
      <c r="B15" s="11">
        <v>3</v>
      </c>
      <c r="C15" s="11">
        <v>4</v>
      </c>
      <c r="D15" s="11">
        <v>5</v>
      </c>
      <c r="E15" s="11">
        <v>6</v>
      </c>
      <c r="F15" s="11">
        <v>7</v>
      </c>
      <c r="G15" s="11">
        <v>22</v>
      </c>
      <c r="H15" s="11">
        <v>8</v>
      </c>
      <c r="I15" s="11">
        <v>9</v>
      </c>
      <c r="J15" s="11">
        <v>19</v>
      </c>
      <c r="K15" s="8">
        <v>20</v>
      </c>
    </row>
    <row r="16" spans="1:11" ht="15.75" thickBot="1"/>
    <row r="17" spans="1:19" ht="15.75" thickBot="1">
      <c r="A17" s="15" t="s">
        <v>22</v>
      </c>
      <c r="B17" s="16">
        <v>600</v>
      </c>
      <c r="C17" s="16">
        <v>800</v>
      </c>
      <c r="D17" s="16">
        <v>1000</v>
      </c>
      <c r="E17" s="16">
        <v>1200</v>
      </c>
      <c r="F17" s="16">
        <v>1250</v>
      </c>
      <c r="G17" s="16">
        <v>1400</v>
      </c>
      <c r="H17" s="16">
        <v>1600</v>
      </c>
      <c r="I17" s="16">
        <v>1800</v>
      </c>
      <c r="J17" s="16" t="s">
        <v>26</v>
      </c>
      <c r="K17" s="16" t="s">
        <v>27</v>
      </c>
      <c r="L17" s="16">
        <v>2200</v>
      </c>
      <c r="M17" s="16">
        <v>2250</v>
      </c>
      <c r="N17" s="16">
        <v>2400</v>
      </c>
      <c r="O17" s="16">
        <v>2500</v>
      </c>
      <c r="P17" s="16">
        <v>2600</v>
      </c>
      <c r="Q17" s="16">
        <v>3000</v>
      </c>
      <c r="R17" s="16">
        <v>3200</v>
      </c>
      <c r="S17" s="17">
        <v>3600</v>
      </c>
    </row>
    <row r="18" spans="1:19">
      <c r="A18" s="12" t="s">
        <v>23</v>
      </c>
      <c r="B18" s="13">
        <v>600</v>
      </c>
      <c r="C18" s="13">
        <v>800</v>
      </c>
      <c r="D18" s="13">
        <v>1000</v>
      </c>
      <c r="E18" s="13">
        <v>1200</v>
      </c>
      <c r="F18" s="13">
        <v>1250</v>
      </c>
      <c r="G18" s="13">
        <v>1400</v>
      </c>
      <c r="H18" s="13">
        <v>1600</v>
      </c>
      <c r="I18" s="13">
        <v>1800</v>
      </c>
      <c r="J18" s="13">
        <v>2000</v>
      </c>
      <c r="K18" s="13">
        <v>2000</v>
      </c>
      <c r="L18" s="13">
        <v>2200</v>
      </c>
      <c r="M18" s="13">
        <v>2250</v>
      </c>
      <c r="N18" s="13">
        <v>2400</v>
      </c>
      <c r="O18" s="13">
        <v>2500</v>
      </c>
      <c r="P18" s="13">
        <v>2600</v>
      </c>
      <c r="Q18" s="13">
        <v>3000</v>
      </c>
      <c r="R18" s="13">
        <v>3200</v>
      </c>
      <c r="S18" s="14">
        <v>3600</v>
      </c>
    </row>
    <row r="19" spans="1:19">
      <c r="A19" s="9" t="s">
        <v>24</v>
      </c>
      <c r="B19" s="4">
        <v>300</v>
      </c>
      <c r="C19" s="4">
        <v>350</v>
      </c>
      <c r="D19" s="4">
        <v>573</v>
      </c>
      <c r="E19" s="4">
        <v>600</v>
      </c>
      <c r="F19" s="4">
        <v>600</v>
      </c>
      <c r="G19" s="4">
        <v>700</v>
      </c>
      <c r="H19" s="4">
        <v>812</v>
      </c>
      <c r="I19" s="4">
        <v>1100</v>
      </c>
      <c r="J19" s="4">
        <v>930</v>
      </c>
      <c r="K19" s="4">
        <v>1070</v>
      </c>
      <c r="L19" s="4">
        <v>1400</v>
      </c>
      <c r="M19" s="4">
        <v>1210</v>
      </c>
      <c r="N19" s="4">
        <v>1600</v>
      </c>
      <c r="O19" s="4">
        <v>1470</v>
      </c>
      <c r="P19" s="4">
        <v>1600</v>
      </c>
      <c r="Q19" s="4">
        <v>1900</v>
      </c>
      <c r="R19" s="4">
        <v>1790</v>
      </c>
      <c r="S19" s="6">
        <v>2400</v>
      </c>
    </row>
    <row r="20" spans="1:19" ht="15.75" thickBot="1">
      <c r="A20" s="10" t="s">
        <v>25</v>
      </c>
      <c r="B20" s="11">
        <v>400</v>
      </c>
      <c r="C20" s="11">
        <v>520</v>
      </c>
      <c r="D20" s="11">
        <v>630</v>
      </c>
      <c r="E20" s="11">
        <v>720</v>
      </c>
      <c r="F20" s="11">
        <v>790</v>
      </c>
      <c r="G20" s="11">
        <v>790</v>
      </c>
      <c r="H20" s="11">
        <v>1000</v>
      </c>
      <c r="I20" s="11">
        <v>1120</v>
      </c>
      <c r="J20" s="11">
        <v>1300</v>
      </c>
      <c r="K20" s="11">
        <v>1240</v>
      </c>
      <c r="L20" s="11">
        <v>1120</v>
      </c>
      <c r="M20" s="11">
        <v>1190</v>
      </c>
      <c r="N20" s="11">
        <v>1370</v>
      </c>
      <c r="O20" s="11">
        <v>1590</v>
      </c>
      <c r="P20" s="11">
        <v>1700</v>
      </c>
      <c r="Q20" s="11">
        <v>1570</v>
      </c>
      <c r="R20" s="11">
        <v>1790</v>
      </c>
      <c r="S20" s="8">
        <v>1750</v>
      </c>
    </row>
    <row r="23" spans="1:19" ht="33">
      <c r="R23" s="51" t="s">
        <v>28</v>
      </c>
      <c r="S23" s="52"/>
    </row>
  </sheetData>
  <mergeCells count="3">
    <mergeCell ref="F4:G4"/>
    <mergeCell ref="I4:J4"/>
    <mergeCell ref="R23:S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Vahid</dc:creator>
  <cp:lastModifiedBy>Vahid</cp:lastModifiedBy>
  <cp:lastPrinted>2013-09-02T14:42:39Z</cp:lastPrinted>
  <dcterms:created xsi:type="dcterms:W3CDTF">2012-07-05T05:17:57Z</dcterms:created>
  <dcterms:modified xsi:type="dcterms:W3CDTF">2013-11-03T10:47:12Z</dcterms:modified>
</cp:coreProperties>
</file>